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Mac\Home\Documents\MyProject\ops-automation\docs\artifacts\misc\"/>
    </mc:Choice>
  </mc:AlternateContent>
  <xr:revisionPtr revIDLastSave="0" documentId="8_{5D843C24-8837-4F86-8A17-62C3A1E67B7D}" xr6:coauthVersionLast="47" xr6:coauthVersionMax="47" xr10:uidLastSave="{00000000-0000-0000-0000-000000000000}"/>
  <bookViews>
    <workbookView xWindow="-120" yWindow="-120" windowWidth="34125" windowHeight="18585" xr2:uid="{00000000-000D-0000-FFFF-FFFF00000000}"/>
  </bookViews>
  <sheets>
    <sheet name="合同首页" sheetId="1" r:id="rId1"/>
    <sheet name="合同正文" sheetId="3" r:id="rId2"/>
    <sheet name="采购明细" sheetId="5" r:id="rId3"/>
    <sheet name="交付验收" sheetId="7" r:id="rId4"/>
    <sheet name="付款违约" sheetId="9" r:id="rId5"/>
  </sheets>
  <definedNames>
    <definedName name="contract_no_mock">合同首页!$B$3</definedName>
  </definedNames>
  <calcPr calcId="191029" calcMode="auto" fullCalcOnLoad="1"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<sst xmlns="http://schemas.openxmlformats.org/spreadsheetml/2006/main" count="139" uniqueCount="139">
  <si>
    <t>设备采购合同-首页（模板）</t>
  </si>
  <si>
    <t>合同编号</t>
  </si>
  <si>
    <t>签订日期</t>
  </si>
  <si>
    <t>甲方（采购方）</t>
  </si>
  <si>
    <t>币种</t>
  </si>
  <si>
    <t>乙方（供应商）</t>
  </si>
  <si>
    <t>含安装服务</t>
  </si>
  <si>
    <t>项目名称</t>
  </si>
  <si>
    <t>质保期(月)</t>
  </si>
  <si>
    <t>合同摘要</t>
  </si>
  <si>
    <t>设备采购合同-正文（模板）</t>
  </si>
  <si>
    <t>1.1 合同标的说明</t>
  </si>
  <si>
    <t>2.1 质量标准</t>
  </si>
  <si>
    <t>3.1 交付地点</t>
  </si>
  <si>
    <t>4.1 安装条款</t>
  </si>
  <si>
    <t>5.1 其他约定</t>
  </si>
  <si>
    <t>采购明细（模板）</t>
  </si>
  <si>
    <t>与“采购明细_数据”成对，用于按 sheet 对比识别明细循环表。</t>
  </si>
  <si>
    <t>序号</t>
  </si>
  <si>
    <t>物料编码</t>
  </si>
  <si>
    <t>设备名称</t>
  </si>
  <si>
    <t>规格型号</t>
  </si>
  <si>
    <t>单位</t>
  </si>
  <si>
    <t>数量</t>
  </si>
  <si>
    <t>含税单价</t>
  </si>
  <si>
    <t>含税小计</t>
  </si>
  <si>
    <t>合计</t>
  </si>
  <si>
    <t>交付验收（模板）</t>
  </si>
  <si>
    <t>与“交付验收_数据”成对，用于测试交付计划循环表。</t>
  </si>
  <si>
    <t>批次</t>
  </si>
  <si>
    <t>交付地点</t>
  </si>
  <si>
    <t>计划到货日</t>
  </si>
  <si>
    <t>安装完成日</t>
  </si>
  <si>
    <t>验收类型</t>
  </si>
  <si>
    <t>验收标准</t>
  </si>
  <si>
    <t>安装条件说明</t>
  </si>
  <si>
    <t>付款违约（模板）</t>
  </si>
  <si>
    <t>合同总金额(含税)</t>
  </si>
  <si>
    <t>逾期交付违约金比例</t>
  </si>
  <si>
    <t>付款节点</t>
  </si>
  <si>
    <t>付款条件</t>
  </si>
  <si>
    <t>比例</t>
  </si>
  <si>
    <t>应付金额</t>
  </si>
  <si>
    <t>质量违约责任</t>
  </si>
  <si>
    <t>乙方向甲方提供六轴工业机器人、伺服模组、视觉检测工站等智能制造设备及相关配套系统</t>
  </si>
  <si>
    <t>乙方提供的设备应符合国家标准GB/T 12642-2013、行业规范及甲方技术协议要求，所有设备须经出厂检验合格后方可发货</t>
  </si>
  <si>
    <t>交付地点为江苏省苏州市工业园区星海智造二期厂房，地址：苏州工业园区星海街128号</t>
  </si>
  <si>
    <t>乙方应在设备到场后7日内完成安装与联调，并配合甲方完成系统集成测试，派遣专业技术工程师驻场服务不少于5个工作日</t>
  </si>
  <si>
    <t>双方确认所有往来通知均以加盖公章的书面文件或双方授权代表签字确认的电子文档为准，传真件在收到原件前不作为最终依据</t>
  </si>
  <si>
    <t>1</t>
  </si>
  <si>
    <t>RB-6A-001</t>
  </si>
  <si>
    <t>六轴工业机器人</t>
  </si>
  <si>
    <t>XR-600</t>
  </si>
  <si>
    <t>台</t>
  </si>
  <si>
    <t>4</t>
  </si>
  <si>
    <t>185000</t>
  </si>
  <si>
    <t>7400002</t>
  </si>
  <si>
    <t>SM-200-001</t>
  </si>
  <si>
    <t>伺服模组</t>
  </si>
  <si>
    <t>SM-200H</t>
  </si>
  <si>
    <t>套</t>
  </si>
  <si>
    <t>8</t>
  </si>
  <si>
    <t>32000</t>
  </si>
  <si>
    <t>2560003</t>
  </si>
  <si>
    <t>VS-100-001</t>
  </si>
  <si>
    <t>视觉检测工站</t>
  </si>
  <si>
    <t>VS-100Pro</t>
  </si>
  <si>
    <t>套</t>
  </si>
  <si>
    <t>2</t>
  </si>
  <si>
    <t>85000</t>
  </si>
  <si>
    <t>170000</t>
  </si>
  <si>
    <t>第一批</t>
  </si>
  <si>
    <t>苏州园区二期厂房</t>
  </si>
  <si>
    <t>2026-06-15</t>
  </si>
  <si>
    <t>2026-06-22</t>
  </si>
  <si>
    <t>到货+安装验收第二批</t>
  </si>
  <si>
    <t>苏州园区二期厂房</t>
  </si>
  <si>
    <t>2026-07-10</t>
  </si>
  <si>
    <t>2026-07-17</t>
  </si>
  <si>
    <t>到货+安装验收</t>
  </si>
  <si>
    <t>设备运行稳定72小时无重大异常，核心性能指标达到技术协议约定的95%以上，系统联调后满足产线设计节拍要求</t>
  </si>
  <si>
    <t>安装服务已启用，乙方需完成现场联调后再组织最终验收，工程师需对甲方操作人员进行不少于2次现场培训</t>
  </si>
  <si>
    <t>PC-2026-0178</t>
  </si>
  <si>
    <t>2026-05-09</t>
  </si>
  <si>
    <t>星海智造科技有限公司</t>
  </si>
  <si>
    <t>CNY</t>
  </si>
  <si>
    <t>华东精工设备股份有限公司</t>
  </si>
  <si>
    <t>是</t>
  </si>
  <si>
    <t>苏州智能产线升级项目</t>
  </si>
  <si>
    <t>24</t>
  </si>
  <si>
    <t>本合同为苏州智能产线升级项目设备采购合同，涉及工业机器人、伺服模组及视觉检测系统等核心设备，含安装调试服务</t>
  </si>
  <si>
    <t>预付款</t>
  </si>
  <si>
    <t>合同生效且收到预付款发票后5个工作日内</t>
  </si>
  <si>
    <t>0.3</t>
  </si>
  <si>
    <t>348000到货款</t>
  </si>
  <si>
    <t>第一批设备到货验收合格后5个工作日内</t>
  </si>
  <si>
    <t>0.4</t>
  </si>
  <si>
    <t>464000验收款</t>
  </si>
  <si>
    <t>设备安装调试验收合格后5个工作日内</t>
  </si>
  <si>
    <t>0.2</t>
  </si>
  <si>
    <t>232000质保金</t>
  </si>
  <si>
    <t>质保期满且设备运行无质量问题后5个工作日内</t>
  </si>
  <si>
    <t>0.1</t>
  </si>
  <si>
    <t>116000</t>
  </si>
  <si>
    <t>每日按迟延部分货款的0.3‰计收违约金，上限不超过合同总价的5%</t>
  </si>
  <si>
    <t>若设备存在重大质量缺陷，乙方应在48小时内响应并在72小时内到场处理，质保期内因质量问题导致的直接损失由乙方承担</t>
  </si>
  <si>
    <t>1</t>
  </si>
  <si>
    <t>RB-6A-001</t>
  </si>
  <si>
    <t>六轴工业机器人</t>
  </si>
  <si>
    <t>XR-600</t>
  </si>
  <si>
    <t>台</t>
  </si>
  <si>
    <t>2</t>
  </si>
  <si>
    <t>SM-200-001</t>
  </si>
  <si>
    <t>伺服模组</t>
  </si>
  <si>
    <t>SM-200H</t>
  </si>
  <si>
    <t>套</t>
  </si>
  <si>
    <t>3</t>
  </si>
  <si>
    <t>VS-100-001</t>
  </si>
  <si>
    <t>视觉检测工站</t>
  </si>
  <si>
    <t>VS-100Pro</t>
  </si>
  <si>
    <t>套</t>
  </si>
  <si>
    <t>第一批</t>
  </si>
  <si>
    <t>苏州园区二期厂房</t>
  </si>
  <si>
    <t>2026-06-15</t>
  </si>
  <si>
    <t>2026-06-22</t>
  </si>
  <si>
    <t>到货+安装验收</t>
  </si>
  <si>
    <t>第二批</t>
  </si>
  <si>
    <t>苏州园区二期厂房</t>
  </si>
  <si>
    <t>2026-07-10</t>
  </si>
  <si>
    <t>2026-07-17</t>
  </si>
  <si>
    <t>到货+安装验收</t>
  </si>
  <si>
    <t>预付款</t>
  </si>
  <si>
    <t>合同生效且收到预付款发票后5个工作日内</t>
  </si>
  <si>
    <t>到货款</t>
  </si>
  <si>
    <t>第一批设备到货验收合格后5个工作日内</t>
  </si>
  <si>
    <t>验收款</t>
  </si>
  <si>
    <t>设备安装调试验收合格后5个工作日内</t>
  </si>
  <si>
    <t>质保金</t>
  </si>
  <si>
    <t>质保期满且设备运行无质量问题后5个工作日内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</si>
</sst>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font>
    <font>
      <b/>
      <sz val="11"/>
      <color rgb="FFFFFFFF"/>
      <name val="Calibri"/>
      <family val="2"/>
    </font>
    <font>
      <b/>
      <sz val="16"/>
      <color rgb="FF1F1F1F"/>
      <name val="Calibri"/>
      <family val="2"/>
    </font>
    <font>
      <sz val="9"/>
      <name val="宋体"/>
      <family val="3"/>
      <charset val="134"/>
    </font>
  </fonts>
  <fills count="4">
    <fill>
      <patternFill patternType="none"/>
    </fill>
    <fill>
      <patternFill patternType="gray125"/>
    </fill>
    <fill>
      <patternFill patternType="solid">
        <fgColor rgb="FF4472C4"/>
        <bgColor indexed="64"/>
      </patternFill>
    </fill>
    <fill>
      <patternFill patternType="solid">
        <fgColor rgb="FFD9E2F3"/>
        <bgColor indexed="64"/>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xf numFmtId="4" fontId="0" fillId="0" borderId="1" xfId="0" applyNumberFormat="1" applyBorder="1"/>
    <xf numFmtId="0" fontId="0" fillId="3" borderId="1" xfId="0" applyFill="1" applyBorder="1"/>
    <xf numFmtId="0" fontId="2" fillId="3" borderId="1" xfId="0" applyFont="1" applyFill="1" applyBorder="1"/>
    <xf numFmtId="0" fontId="0" fillId="0" borderId="2" xfId="0" applyBorder="1"/>
    <xf numFmtId="0" fontId="0" fillId="0" borderId="3" xfId="0" applyBorder="1"/>
    <xf numFmtId="0" fontId="0" fillId="3" borderId="1" xfId="0" applyFill="1"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rocurementDetailMock" displayName="tblProcurementDetailMock" ref="A4:H7" totalsRowShown="0">
  <autoFilter ref="A4:H7" xr:uid="{00000000-0009-0000-0100-000001000000}"/>
  <tableColumns count="8">
    <tableColumn id="1" xr3:uid="{00000000-0010-0000-0000-000001000000}" name="序号"/>
    <tableColumn id="2" xr3:uid="{00000000-0010-0000-0000-000002000000}" name="物料编码"/>
    <tableColumn id="3" xr3:uid="{00000000-0010-0000-0000-000003000000}" name="设备名称"/>
    <tableColumn id="4" xr3:uid="{00000000-0010-0000-0000-000004000000}" name="规格型号"/>
    <tableColumn id="5" xr3:uid="{00000000-0010-0000-0000-000005000000}" name="单位"/>
    <tableColumn id="6" xr3:uid="{00000000-0010-0000-0000-000006000000}" name="数量"/>
    <tableColumn id="7" xr3:uid="{00000000-0010-0000-0000-000007000000}" name="含税单价"/>
    <tableColumn id="8" xr3:uid="{00000000-0010-0000-0000-000008000000}" name="含税小计"/>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DeliveryPlanMock" displayName="tblDeliveryPlanMock" ref="A4:E6" totalsRowShown="0">
  <autoFilter ref="A4:E6" xr:uid="{00000000-0009-0000-0100-000003000000}"/>
  <tableColumns count="5">
    <tableColumn id="1" xr3:uid="{00000000-0010-0000-0200-000001000000}" name="批次"/>
    <tableColumn id="2" xr3:uid="{00000000-0010-0000-0200-000002000000}" name="交付地点"/>
    <tableColumn id="3" xr3:uid="{00000000-0010-0000-0200-000003000000}" name="计划到货日"/>
    <tableColumn id="4" xr3:uid="{00000000-0010-0000-0200-000004000000}" name="安装完成日"/>
    <tableColumn id="5" xr3:uid="{00000000-0010-0000-0200-000005000000}" name="验收类型"/>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PaymentPlanMock" displayName="tblPaymentPlanMock" ref="A6:D10" totalsRowShown="0">
  <autoFilter ref="A6:D10" xr:uid="{00000000-0009-0000-0100-000005000000}"/>
  <tableColumns count="4">
    <tableColumn id="1" xr3:uid="{00000000-0010-0000-0400-000001000000}" name="付款节点"/>
    <tableColumn id="2" xr3:uid="{00000000-0010-0000-0400-000002000000}" name="付款条件"/>
    <tableColumn id="3" xr3:uid="{00000000-0010-0000-0400-000003000000}" name="比例"/>
    <tableColumn id="4" xr3:uid="{00000000-0010-0000-0400-000004000000}" name="应付金额"/>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7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0D3E2A9-70C6-4900-8543-87B019571032}">
  <we:reference id="b2c3d4e5-f6a7-8901-bcde-f12345678901" version="1.0.0.0" store="developer" storeType="Registry"/>
  <we:alternateReferences/>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
  <sheetViews>
    <sheetView tabSelected="1" workbookViewId="0">
      <selection sqref="A1:F1"/>
    </sheetView>
  </sheetViews>
  <sheetFormatPr defaultRowHeight="15" x14ac:dyDescent="0.25"/>
  <sheetData>
    <row r="1" spans="1:6" ht="21" x14ac:dyDescent="0.35">
      <c r="A1" s="4" t="s">
        <v>0</v>
      </c>
      <c r="B1" s="5"/>
      <c r="C1" s="5"/>
      <c r="D1" s="5"/>
      <c r="E1" s="5"/>
      <c r="F1" s="6"/>
    </row>
    <row r="3" spans="1:6" x14ac:dyDescent="0.25">
      <c r="A3" s="1" t="s">
        <v>1</v>
      </c>
      <c r="B3" s="3" t="s">
        <v>64</v>
      </c>
      <c r="E3" s="1" t="s">
        <v>2</v>
      </c>
      <c r="F3" s="3" t="s">
        <v>65</v>
      </c>
    </row>
    <row r="5" spans="1:6" x14ac:dyDescent="0.25">
      <c r="A5" s="1" t="s">
        <v>3</v>
      </c>
      <c r="B5" s="3" t="s">
        <v>66</v>
      </c>
      <c r="E5" s="1" t="s">
        <v>4</v>
      </c>
      <c r="F5" s="3" t="s">
        <v>67</v>
      </c>
    </row>
    <row r="6" spans="1:6" x14ac:dyDescent="0.25">
      <c r="A6" s="1" t="s">
        <v>5</v>
      </c>
      <c r="B6" s="3" t="s">
        <v>68</v>
      </c>
      <c r="E6" s="1" t="s">
        <v>6</v>
      </c>
      <c r="F6" s="3" t="s">
        <v>69</v>
      </c>
    </row>
    <row r="7" spans="1:6" x14ac:dyDescent="0.25">
      <c r="A7" s="1" t="s">
        <v>7</v>
      </c>
      <c r="B7" s="3" t="s">
        <v>70</v>
      </c>
      <c r="E7" s="1" t="s">
        <v>8</v>
      </c>
      <c r="F7" s="3" t="s">
        <v>71</v>
      </c>
    </row>
    <row r="9" spans="1:6" x14ac:dyDescent="0.25">
      <c r="A9" s="1" t="s">
        <v>9</v>
      </c>
      <c r="B9" s="3" t="s">
        <v>72</v>
      </c>
    </row>
  </sheetData>
  <mergeCells count="1">
    <mergeCell ref="A1:F1"/>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workbookViewId="0"/>
  </sheetViews>
  <sheetFormatPr defaultRowHeight="15" x14ac:dyDescent="0.25"/>
  <sheetData>
    <row r="1" spans="1:2" ht="21" x14ac:dyDescent="0.35">
      <c r="A1" s="4" t="s">
        <v>10</v>
      </c>
      <c r="B1" s="6"/>
    </row>
    <row r="3" spans="1:2" x14ac:dyDescent="0.25">
      <c r="A3" s="1" t="s">
        <v>11</v>
      </c>
      <c r="B3" s="3" t="s">
        <v>44</v>
      </c>
    </row>
    <row r="5" spans="1:2" x14ac:dyDescent="0.25">
      <c r="A5" s="1" t="s">
        <v>12</v>
      </c>
      <c r="B5" s="3" t="s">
        <v>45</v>
      </c>
    </row>
    <row r="7" spans="1:2" x14ac:dyDescent="0.25">
      <c r="A7" s="1" t="s">
        <v>13</v>
      </c>
      <c r="B7" s="3" t="s">
        <v>46</v>
      </c>
    </row>
    <row r="9" spans="1:2" x14ac:dyDescent="0.25">
      <c r="A9" s="1" t="s">
        <v>14</v>
      </c>
      <c r="B9" s="3" t="s">
        <v>47</v>
      </c>
    </row>
    <row r="11" spans="1:2" x14ac:dyDescent="0.25">
      <c r="A11" s="1" t="s">
        <v>15</v>
      </c>
      <c r="B11" s="3" t="s">
        <v>48</v>
      </c>
    </row>
  </sheetData>
  <mergeCells count="1">
    <mergeCell ref="A1:B1"/>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
  <sheetViews>
    <sheetView workbookViewId="0"/>
  </sheetViews>
  <sheetFormatPr defaultRowHeight="15" x14ac:dyDescent="0.25"/>
  <sheetData>
    <row r="1" spans="1:8" ht="21" x14ac:dyDescent="0.35">
      <c r="A1" s="4" t="s">
        <v>16</v>
      </c>
      <c r="B1" s="5"/>
      <c r="C1" s="5"/>
      <c r="D1" s="5"/>
      <c r="E1" s="5"/>
      <c r="F1" s="5"/>
      <c r="G1" s="5"/>
      <c r="H1" s="6"/>
    </row>
    <row r="2" spans="1:8" x14ac:dyDescent="0.25">
      <c r="A2" s="7" t="s">
        <v>17</v>
      </c>
      <c r="B2" s="5"/>
      <c r="C2" s="5"/>
      <c r="D2" s="5"/>
      <c r="E2" s="5"/>
      <c r="F2" s="5"/>
      <c r="G2" s="5"/>
      <c r="H2" s="6"/>
    </row>
    <row r="4" spans="1:8" x14ac:dyDescent="0.25">
      <c r="A4" s="1" t="s">
        <v>18</v>
      </c>
      <c r="B4" s="1" t="s">
        <v>19</v>
      </c>
      <c r="C4" s="1" t="s">
        <v>20</v>
      </c>
      <c r="D4" s="1" t="s">
        <v>21</v>
      </c>
      <c r="E4" s="1" t="s">
        <v>22</v>
      </c>
      <c r="F4" s="1" t="s">
        <v>23</v>
      </c>
      <c r="G4" s="1" t="s">
        <v>24</v>
      </c>
      <c r="H4" s="1" t="s">
        <v>25</v>
      </c>
    </row>
    <row r="5" spans="1:8" x14ac:dyDescent="0.25">
      <c r="A5" s="3" t="s">
        <v>106</v>
      </c>
      <c r="B5" s="3" t="s">
        <v>107</v>
      </c>
      <c r="C5" s="3" t="s">
        <v>108</v>
      </c>
      <c r="D5" s="3" t="s">
        <v>109</v>
      </c>
      <c r="E5" s="3" t="s">
        <v>110</v>
      </c>
      <c r="F5" s="3">
        <v>4</v>
      </c>
      <c r="G5" s="3">
        <v>185000</v>
      </c>
      <c r="H5" s="3">
        <v>740000</v>
      </c>
    </row>
    <row r="6" spans="1:8" x14ac:dyDescent="0.25">
      <c r="A6" s="3" t="s">
        <v>111</v>
      </c>
      <c r="B6" s="3" t="s">
        <v>112</v>
      </c>
      <c r="C6" s="3" t="s">
        <v>113</v>
      </c>
      <c r="D6" s="3" t="s">
        <v>114</v>
      </c>
      <c r="E6" s="3" t="s">
        <v>115</v>
      </c>
      <c r="F6" s="3">
        <v>8</v>
      </c>
      <c r="G6" s="3">
        <v>32000</v>
      </c>
      <c r="H6" s="3">
        <v>256000</v>
      </c>
    </row>
    <row r="7" spans="1:8" x14ac:dyDescent="0.25">
      <c r="A7" s="3" t="s">
        <v>116</v>
      </c>
      <c r="B7" s="3" t="s">
        <v>117</v>
      </c>
      <c r="C7" s="3" t="s">
        <v>118</v>
      </c>
      <c r="D7" s="3" t="s">
        <v>119</v>
      </c>
      <c r="E7" s="3" t="s">
        <v>120</v>
      </c>
      <c r="F7" s="3">
        <v>2</v>
      </c>
      <c r="G7" s="3">
        <v>85000</v>
      </c>
      <c r="H7" s="3">
        <v>170000</v>
      </c>
    </row>
    <row r="9" spans="1:8" x14ac:dyDescent="0.25">
      <c r="G9" s="1" t="s">
        <v>26</v>
      </c>
      <c r="H9" s="2">
        <f>SUM(H5:H7)</f>
      </c>
    </row>
  </sheetData>
  <mergeCells count="2">
    <mergeCell ref="A2:H2"/>
    <mergeCell ref="A1:H1"/>
  </mergeCells>
  <phoneticPr fontId="3" type="noConversion"/>
  <pageMargins left="0.7" right="0.7" top="0.75" bottom="0.75" header="0.3" footer="0.3"/>
  <tableParts count="1">
    <tablePart r:id="rId1"/>
  </tableParts>
</worksheet>
</file>

<file path=xl/worksheets/sheet4.xml><?xml version="1.0" encoding="UTF-8" standalone="yes"?>
<worksheet xmlns="http://schemas.openxmlformats.org/spreadsheetml/2006/main" xmlns:r="http://schemas.openxmlformats.org/officeDocument/2006/relationships" xmlns:mc="http://schemas.openxmlformats.org/markup-compatibility/2006" mc:Ignorable="x14ac xr xr2 xr3" xmlns:x14ac="http://schemas.microsoft.com/office/spreadsheetml/2009/9/ac" xmlns:xr="http://schemas.microsoft.com/office/spreadsheetml/2014/revision" xmlns:xr2="http://schemas.microsoft.com/office/spreadsheetml/2015/revision2" xmlns:xr3="http://schemas.microsoft.com/office/spreadsheetml/2016/revision3" xr:uid="{00000000-0001-0000-0600-000000000000}"><dimension ref="A1:E10"/><sheetViews><sheetView workbookViewId="0"/></sheetViews><sheetFormatPr defaultRowHeight="15" x14ac:dyDescent="0.25"/><sheetData><row r="1" spans="1:5" ht="21" x14ac:dyDescent="0.35"><c r="A1" s="4" t="s"><v>27</v></c><c r="B1" s="5"/><c r="C1" s="5"/><c r="D1" s="5"/><c r="E1" s="6"/></row><row r="2" spans="1:5" x14ac:dyDescent="0.25"><c r="A2" s="7" t="s"><v>28</v></c><c r="B2" s="5"/><c r="C2" s="5"/><c r="D2" s="5"/><c r="E2" s="6"/></row><row r="4" spans="1:5" x14ac:dyDescent="0.25"><c r="A4" s="1" t="s"><v>29</v></c><c r="B4" s="1" t="s"><v>30</v></c><c r="C4" s="1" t="s"><v>31</v></c><c r="D4" s="1" t="s"><v>32</v></c><c r="E4" s="1" t="s"><v>33</v></c></row><row r="5" spans="1:5" x14ac:dyDescent="0.25"><c r="A5" s="3" t="s"><v>121</v></c><c r="B5" s="3" t="s"><v>122</v></c><c r="C5" s="3" t="s"><v>123</v></c><c r="D5" s="3" t="s"><v>124</v></c><c r="E5" s="3" t="s"><v>125</v></c></row><row r="6" spans="1:5" x14ac:dyDescent="0.25"><c r="A6" s="3" t="s"><v>126</v></c><c r="B6" s="3" t="s"><v>127</v></c><c r="C6" s="3" t="s"><v>128</v></c><c r="D6" s="3" t="s"><v>129</v></c><c r="E6" s="3" t="s"><v>130</v></c></row><row r="9" spans="1:5" x14ac:dyDescent="0.25"><c r="A9" s="1" t="s"><v>34</v></c><c </v></c></row><row r="10" spans="1:5" x14ac:dyDescent="0.25"><c r="A10" s="1" t="s"><v>35</v></c><c </v></c></row></sheetData><mergeCells count="2"><mergeCell ref="A2:E2"/><mergeCell ref="A1:E1"/></mergeCells><phoneticPr fontId="3" type="noConversion"/><pageMargins left="0.7" right="0.7" top="0.75" bottom="0.75" header="0.3" footer="0.3"/><tableParts count="1"><tablePart r:id="rId1"/></tableParts></worksheet>
</file>

<file path=xl/worksheets/sheet5.xml><?xml version="1.0" encoding="UTF-8" standalone="yes"?>
<worksheet xmlns="http://schemas.openxmlformats.org/spreadsheetml/2006/main" xmlns:r="http://schemas.openxmlformats.org/officeDocument/2006/relationships" xmlns:mc="http://schemas.openxmlformats.org/markup-compatibility/2006" mc:Ignorable="x14ac xr xr2 xr3" xmlns:x14ac="http://schemas.microsoft.com/office/spreadsheetml/2009/9/ac" xmlns:xr="http://schemas.microsoft.com/office/spreadsheetml/2014/revision" xmlns:xr2="http://schemas.microsoft.com/office/spreadsheetml/2015/revision2" xmlns:xr3="http://schemas.microsoft.com/office/spreadsheetml/2016/revision3" xr:uid="{00000000-0001-0000-0800-000000000000}"><dimension ref="A1:D12"/><sheetViews><sheetView workbookViewId="0"/></sheetViews><sheetFormatPr defaultRowHeight="15" x14ac:dyDescent="0.25"/><sheetData><row r="1" spans="1:4" ht="21" x14ac:dyDescent="0.35"><c r="A1" s="4" t="s"><v>36</v></c><c r="B1" s="5"/><c r="C1" s="5"/><c r="D1" s="6"/></row><row r="3" spans="1:4" x14ac:dyDescent="0.25"><c r="A3" s="1" t="s"><v>37</v></c><c r="B3" s="2"><f>SUM(采购明细!H5:H7)</f></c></row><row r="4" spans="1:4" x14ac:dyDescent="0.25"><c r="A4" s="1" t="s"><v>38</v></c><c </v></c></row><row r="6" spans="1:4" x14ac:dyDescent="0.25"><c r="A6" s="1" t="s"><v>39</v></c><c r="B6" s="1" t="s"><v>40</v></c><c r="C6" s="1" t="s"><v>41</v></c><c r="D6" s="1" t="s"><v>42</v></c></row><row r="7" spans="1:4" x14ac:dyDescent="0.25"><c r="A7" s="3" t="s"><v>131</v></c><c r="B7" s="3" t="s"><v>132</v></c><c r="C7" s="3"><v>0.3</v></c><c r="D7" s="3"><v>348000</v></c></row><row r="8" spans="1:4" x14ac:dyDescent="0.25"><c r="A8" s="3" t="s"><v>133</v></c><c r="B8" s="3" t="s"><v>134</v></c><c r="C8" s="3"><v>0.4</v></c><c r="D8" s="3"><v>464000</v></c></row><row r="9" spans="1:4" x14ac:dyDescent="0.25"><c r="A9" s="3" t="s"><v>135</v></c><c r="B9" s="3" t="s"><v>136</v></c><c r="C9" s="3"><v>0.2</v></c><c r="D9" s="3"><v>232000</v></c></row><row r="10" spans="1:4" x14ac:dyDescent="0.25"><c r="A10" s="3" t="s"><v>137</v></c><c r="B10" s="3" t="s"><v>138</v></c><c r="C10" s="3"><v>0.1</v></c><c r="D10" s="3"><v>116000</v></c></row><row r="12" spans="1:4" x14ac:dyDescent="0.25"><c r="A12" s="1" t="s"><v>43</v></c><c </v></c></row></sheetData><mergeCells count="1"><mergeCell ref="A1:D1"/></mergeCells><phoneticPr fontId="3" type="noConversion"/><pageMargins left="0.7" right="0.7" top="0.75" bottom="0.75" header="0.3" footer="0.3"/><tableParts count="1"><tablePart r:id="rId1"/></tableParts></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1</vt:i4>
      </vt:variant>
    </vt:vector>
  </HeadingPairs>
  <TitlesOfParts>
    <vt:vector size="6" baseType="lpstr">
      <vt:lpstr>合同首页</vt:lpstr>
      <vt:lpstr>合同正文</vt:lpstr>
      <vt:lpstr>采购明细</vt:lpstr>
      <vt:lpstr>交付验收</vt:lpstr>
      <vt:lpstr>付款违约</vt:lpstr>
      <vt:lpstr>contract_no_mock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chain</cp:lastModifiedBy>
  <dcterms:created xsi:type="dcterms:W3CDTF">2026-05-10T07:53:10Z</dcterms:created>
  <dcterms:modified xsi:type="dcterms:W3CDTF">2026-05-13T11:03:29Z</dcterms:modified>
</cp:coreProperties>
</file>