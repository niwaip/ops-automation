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采购汇总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<sst xmlns="http://schemas.openxmlformats.org/spreadsheetml/2006/main" count="25" uniqueCount="19">
  <si>
    <t xml:space="preserve">采购明细与部门汇总报表</t>
  </si>
  <si>
    <t xml:space="preserve">【部门采购汇总】</t>
  </si>
  <si>
    <t xml:space="preserve">部门</t>
  </si>
  <si>
    <t xml:space="preserve">品项数</t>
  </si>
  <si>
    <t xml:space="preserve">采购总数量</t>
  </si>
  <si>
    <r>
      <rPr>
        <b val="true"/>
        <sz val="10"/>
        <color rgb="FFFFFFFF"/>
        <rFont val="Noto Sans SC"/>
        <family val="2"/>
      </rPr>
      <t xml:space="preserve">采购总金额 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SC"/>
        <family val="2"/>
      </rPr>
      <t xml:space="preserve">元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</si>
  <si>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金额占比</t>
  </si>
  <si>
    <t xml:space="preserve">研发</t>
  </si>
  <si>
    <t xml:space="preserve">行政</t>
  </si>
  <si>
    <t xml:space="preserve">合计</t>
  </si>
  <si>
    <t xml:space="preserve">【采购明细清单】</t>
  </si>
  <si>
    <t xml:space="preserve">品名</t>
  </si>
  <si>
    <t xml:space="preserve">数量</t>
  </si>
  <si>
    <r>
      <rPr>
        <b val="true"/>
        <sz val="10"/>
        <color rgb="FFFFFFFF"/>
        <rFont val="Noto Sans SC"/>
        <family val="2"/>
      </rPr>
      <t xml:space="preserve">单价 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SC"/>
        <family val="2"/>
      </rPr>
      <t xml:space="preserve">元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</si>
  <si>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r>
      <rPr>
        <b val="true"/>
        <sz val="10"/>
        <color rgb="FFFFFFFF"/>
        <rFont val="Noto Sans SC"/>
        <family val="2"/>
      </rPr>
      <t xml:space="preserve">金额 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Noto Sans SC"/>
        <family val="2"/>
      </rPr>
      <t xml:space="preserve">元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</si>
  <si>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键盘</t>
  </si>
  <si>
    <t xml:space="preserve">打印纸</t>
  </si>
  <si>
    <t xml:space="preserve">鼠标</t>
  </si>
  <si>
    <t xml:space="preserve">-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</si>
</sst>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¥#,##0.00"/>
    <numFmt numFmtId="167" formatCode="0.0%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Noto Sans SC"/>
      <family val="2"/>
    </font>
    <font>
      <b val="true"/>
      <sz val="11"/>
      <color rgb="FF1F2937"/>
      <name val="Noto Sans SC"/>
      <family val="2"/>
    </font>
    <font>
      <b val="true"/>
      <sz val="10"/>
      <color rgb="FFFFFFFF"/>
      <name val="Noto Sans SC"/>
      <family val="2"/>
    </font>
    <font>
      <b val="true"/>
      <sz val="10"/>
      <color rgb="FFFFFFFF"/>
      <name val="微软雅黑"/>
      <family val="0"/>
      <charset val="1"/>
    </font>
    <font>
      <sz val="10"/>
      <color rgb="FF1F2937"/>
      <name val="Noto Sans SC"/>
      <family val="2"/>
    </font>
    <font>
      <sz val="10"/>
      <color rgb="FF1F2937"/>
      <name val="微软雅黑"/>
      <family val="0"/>
      <charset val="1"/>
    </font>
    <font>
      <b val="true"/>
      <sz val="10"/>
      <color rgb="FF1F2937"/>
      <name val="Noto Sans SC"/>
      <family val="2"/>
    </font>
    <font>
      <b val="true"/>
      <sz val="10"/>
      <color rgb="FF1F2937"/>
      <name val="微软雅黑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1F5F9"/>
        <bgColor rgb="FFF8FAFC"/>
      </patternFill>
    </fill>
    <fill>
      <patternFill patternType="solid">
        <fgColor rgb="FF3B82F6"/>
        <bgColor rgb="FF0066CC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double">
        <color rgb="FF64748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F1F5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5" min="4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3" customFormat="false" ht="21.75" hidden="false" customHeight="true" outlineLevel="0" collapsed="false">
      <c r="A3" s="2" t="s">
        <v>1</v>
      </c>
    </row>
    <row r="4" customFormat="false" ht="24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1.75" hidden="false" customHeight="true" outlineLevel="0" collapsed="false">
      <c r="A5" s="4" t="s">
        <v>7</v>
      </c>
      <c r="B5" s="5" t="n">
        <f aca="false">COUNTIF(A$12:A$14, "研发")</f>
        <v>2</v>
      </c>
      <c r="C5" s="5" t="n">
        <f aca="false">SUMIF(A$12:A$14, "研发", C$12:C$14)</f>
        <v>5</v>
      </c>
      <c r="D5" s="6" t="n">
        <f aca="false">SUMIF(A$12:A$14, "研发", E$12:E$14)</f>
        <v>490</v>
      </c>
      <c r="E5" s="7" t="n">
        <f aca="false">D5/$D$7</f>
        <v>0.777777777777778</v>
      </c>
    </row>
    <row r="6" customFormat="false" ht="21.75" hidden="false" customHeight="true" outlineLevel="0" collapsed="false">
      <c r="A6" s="4" t="s">
        <v>8</v>
      </c>
      <c r="B6" s="5" t="n">
        <f aca="false">COUNTIF(A$12:A$14, "行政")</f>
        <v>1</v>
      </c>
      <c r="C6" s="5" t="n">
        <f aca="false">SUMIF(A$12:A$14, "行政", C$12:C$14)</f>
        <v>5</v>
      </c>
      <c r="D6" s="6" t="n">
        <f aca="false">SUMIF(A$12:A$14, "行政", E$12:E$14)</f>
        <v>140</v>
      </c>
      <c r="E6" s="7" t="n">
        <f aca="false">D6/$D$7</f>
        <v>0.222222222222222</v>
      </c>
    </row>
    <row r="7" customFormat="false" ht="24" hidden="false" customHeight="true" outlineLevel="0" collapsed="false">
      <c r="A7" s="8" t="s">
        <v>9</v>
      </c>
      <c r="B7" s="9" t="n">
        <f aca="false">SUM(B5:B6)</f>
        <v>3</v>
      </c>
      <c r="C7" s="9" t="n">
        <f aca="false">SUM(C5:C6)</f>
        <v>10</v>
      </c>
      <c r="D7" s="10" t="n">
        <f aca="false">SUM(D5:D6)</f>
        <v>630</v>
      </c>
      <c r="E7" s="11" t="n">
        <f aca="false">SUM(E5:E6)</f>
        <v>1</v>
      </c>
    </row>
    <row r="10" customFormat="false" ht="21.75" hidden="false" customHeight="true" outlineLevel="0" collapsed="false">
      <c r="A10" s="2" t="s">
        <v>10</v>
      </c>
    </row>
    <row r="11" customFormat="false" ht="24.75" hidden="false" customHeight="true" outlineLevel="0" collapsed="false">
      <c r="A11" s="12" t="s">
        <v>2</v>
      </c>
      <c r="B11" s="12" t="s">
        <v>11</v>
      </c>
      <c r="C11" s="12" t="s">
        <v>12</v>
      </c>
      <c r="D11" s="12" t="s">
        <v>13</v>
      </c>
      <c r="E11" s="12" t="s">
        <v>14</v>
      </c>
    </row>
    <row r="12" customFormat="false" ht="21.75" hidden="false" customHeight="true" outlineLevel="0" collapsed="false">
      <c r="A12" s="4" t="s">
        <v>7</v>
      </c>
      <c r="B12" s="4" t="s">
        <v>15</v>
      </c>
      <c r="C12" s="5" t="n">
        <v>3</v>
      </c>
      <c r="D12" s="6" t="n">
        <v>120</v>
      </c>
      <c r="E12" s="6" t="n">
        <f aca="false">C12*D12</f>
        <v>360</v>
      </c>
    </row>
    <row r="13" customFormat="false" ht="21.75" hidden="false" customHeight="true" outlineLevel="0" collapsed="false">
      <c r="A13" s="13" t="s">
        <v>8</v>
      </c>
      <c r="B13" s="13" t="s">
        <v>16</v>
      </c>
      <c r="C13" s="14" t="n">
        <v>5</v>
      </c>
      <c r="D13" s="15" t="n">
        <v>28</v>
      </c>
      <c r="E13" s="15" t="n">
        <f aca="false">C13*D13</f>
        <v>140</v>
      </c>
    </row>
    <row r="14" customFormat="false" ht="21.75" hidden="false" customHeight="true" outlineLevel="0" collapsed="false">
      <c r="A14" s="4" t="s">
        <v>7</v>
      </c>
      <c r="B14" s="4" t="s">
        <v>17</v>
      </c>
      <c r="C14" s="5" t="n">
        <v>2</v>
      </c>
      <c r="D14" s="6" t="n">
        <v>65</v>
      </c>
      <c r="E14" s="6" t="n">
        <f aca="false">C14*D14</f>
        <v>130</v>
      </c>
    </row>
    <row r="15" customFormat="false" ht="24" hidden="false" customHeight="true" outlineLevel="0" collapsed="false">
      <c r="A15" s="8" t="s">
        <v>9</v>
      </c>
      <c r="B15" s="16" t="s">
        <v>18</v>
      </c>
      <c r="C15" s="9" t="n">
        <f aca="false">SUM(C12:C14)</f>
        <v>10</v>
      </c>
      <c r="D15" s="16" t="s">
        <v>18</v>
      </c>
      <c r="E15" s="10" t="n">
        <f aca="false">SUM(E12:E14)</f>
        <v>630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2026-10-13T12:52:25Z</dcterms:created>
  <dc:creator>openpyxl</dc:creator>
  <dc:description/>
  <dc:language>en-US</dc:language>
  <cp:lastModifiedBy/>
  <dcterms:modified xsi:type="dcterms:W3CDTF">2026-10-13T12:52:25Z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