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3.xml" ContentType="application/vnd.openxmlformats-officedocument.spreadsheetml.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240" yWindow="15" windowWidth="16095" windowHeight="9660"/>
  </bookViews>
  <sheets>
    <sheet name="合同首页" sheetId="1" r:id="rId1"/>
    <sheet name="采购清单" sheetId="2" r:id="rId2"/>
    <sheet name="交付计划" sheetId="3" r:id="rId3"/>
    <sheet name="付款条款" sheetId="4" r:id="rId4"/>
    <sheet name="验收与违约" sheetId="5" r:id="rId5"/>
  </sheets>
  <definedNames>
    <definedName name="buyer_name">'合同首页'!$B$3</definedName>
    <definedName name="supplier_name">'合同首页'!$B$4</definedName>
    <definedName name="contract_no">'合同首页'!$E$3</definedName>
    <definedName name="tax_rate">'合同首页'!$E$7</definedName>
    <definedName name="contract_total">'付款条款'!$B$8</definedName>
  </definedNames>
  <calcPr calcId="191029"/>
</workbook>
</file>

<file path=xl/sharedStrings.xml><?xml version="1.0" encoding="utf-8"?>
<sst xmlns="http://schemas.openxmlformats.org/spreadsheetml/2006/main" count="77" uniqueCount="73">
  <si>
    <t>采购合同模板提取测试样例</t>
  </si>
  <si>
    <t>采购方</t>
  </si>
  <si>
    <t>{d.buyer.name}</t>
  </si>
  <si>
    <t>供应商</t>
  </si>
  <si>
    <t>{d.supplier.name}</t>
  </si>
  <si>
    <t>项目名称</t>
  </si>
  <si>
    <t>{d.project.name}</t>
  </si>
  <si>
    <t>合同编号</t>
  </si>
  <si>
    <t>{d.contract.no}</t>
  </si>
  <si>
    <t>签订日期</t>
  </si>
  <si>
    <t>{d.contract.signDate}</t>
  </si>
  <si>
    <t>币种</t>
  </si>
  <si>
    <t>{d.contract.currency}</t>
  </si>
  <si>
    <t>税率</t>
  </si>
  <si>
    <t>{d.contract.taxRate}</t>
  </si>
  <si>
    <t>是否含安装服务</t>
  </si>
  <si>
    <t>{d.flags.hasInstallation}</t>
  </si>
  <si>
    <t>条件说明</t>
  </si>
  <si>
    <t>若 hasInstallation = true，则在验收与违约页启用安装验收条款；否则仅保留到货验收条款。</t>
  </si>
  <si>
    <t>采购清单</t>
  </si>
  <si>
    <t>本页为采购明细循环区，包含真实 Excel Table</t>
  </si>
  <si>
    <t>循环开始</t>
  </si>
  <si>
    <t>物料编码</t>
  </si>
  <si>
    <t>设备名称</t>
  </si>
  <si>
    <t>规格型号</t>
  </si>
  <si>
    <t>数量</t>
  </si>
  <si>
    <t>含税单价</t>
  </si>
  <si>
    <t>小计</t>
  </si>
  <si>
    <t>循环结束</t>
  </si>
  <si>
    <t>{#d.items}</t>
  </si>
  <si>
    <t>{d.items.materialCode}</t>
  </si>
  <si>
    <t>{d.items.productName}</t>
  </si>
  <si>
    <t>{d.items.specModel}</t>
  </si>
  <si>
    <t>{d.items.qty}</t>
  </si>
  <si>
    <t>{d.items.unitPriceTax}</t>
  </si>
  <si>
    <t>{/d.items}</t>
  </si>
  <si>
    <t>交付计划</t>
  </si>
  <si>
    <t>用于测试第二个循环、日期字段和条件公式</t>
  </si>
  <si>
    <t>批次</t>
  </si>
  <si>
    <t>交付地点</t>
  </si>
  <si>
    <t>计划到货日</t>
  </si>
  <si>
    <t>安装完成日</t>
  </si>
  <si>
    <t>条件标签</t>
  </si>
  <si>
    <t>{#d.deliveries}</t>
  </si>
  <si>
    <t>{d.deliveries.batchNo}</t>
  </si>
  <si>
    <t>{d.deliveries.location}</t>
  </si>
  <si>
    <t>{d.deliveries.arrivalDate}</t>
  </si>
  <si>
    <t>{d.deliveries.installDoneDate}</t>
  </si>
  <si>
    <t>{/d.deliveries}</t>
  </si>
  <si>
    <t>付款条款</t>
  </si>
  <si>
    <t>付款计划循环区，金额引用采购清单汇总</t>
  </si>
  <si>
    <t>付款节点</t>
  </si>
  <si>
    <t>付款条件</t>
  </si>
  <si>
    <t>付款比例</t>
  </si>
  <si>
    <t>应付金额</t>
  </si>
  <si>
    <t>{#d.paymentTerms}</t>
  </si>
  <si>
    <t>{d.paymentTerms.stage}</t>
  </si>
  <si>
    <t>{d.paymentTerms.condition}</t>
  </si>
  <si>
    <t>{d.paymentTerms.percent}</t>
  </si>
  <si>
    <t>{/d.paymentTerms}</t>
  </si>
  <si>
    <t>合同总金额(含税)</t>
  </si>
  <si>
    <t>预付款条件</t>
  </si>
  <si>
    <t>验收与违约条款</t>
  </si>
  <si>
    <t>到货验收标准</t>
  </si>
  <si>
    <t>{d.acceptance.arrivalStandard}</t>
  </si>
  <si>
    <t>安装验收标准</t>
  </si>
  <si>
    <t>质保期(月)</t>
  </si>
  <si>
    <t>{d.warranty.months}</t>
  </si>
  <si>
    <t>逾期交付违约金比例</t>
  </si>
  <si>
    <t>{d.penalty.delayRate}</t>
  </si>
  <si>
    <t>质量违约处理</t>
  </si>
  <si>
    <t>{d.penalty.qualityClause}</t>
  </si>
  <si>
    <t>风险提示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</si>
</sst>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6"/>
      <color rgb="FF1F1F1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/>
    <xf numFmtId="4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  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ProcurementItems" displayName="tblProcurementItems" ref="A3:H4" totalsRowShown="0">
  <autoFilter ref="A3:H4"/>
  <tableColumns count="8">
    <tableColumn id="1" name="循环开始"/>
    <tableColumn id="2" name="物料编码"/>
    <tableColumn id="3" name="设备名称"/>
    <tableColumn id="4" name="规格型号"/>
    <tableColumn id="5" name="数量"/>
    <tableColumn id="6" name="含税单价"/>
    <tableColumn id="7" name="小计"/>
    <tableColumn id="8" name="循环结束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eliveryPlan" displayName="tblDeliveryPlan" ref="A3:G4" totalsRowShown="0">
  <autoFilter ref="A3:G4"/>
  <tableColumns count="7">
    <tableColumn id="1" name="循环开始"/>
    <tableColumn id="2" name="批次"/>
    <tableColumn id="3" name="交付地点"/>
    <tableColumn id="4" name="计划到货日"/>
    <tableColumn id="5" name="安装完成日"/>
    <tableColumn id="6" name="条件标签"/>
    <tableColumn id="7" name="循环结束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aymentTerms" displayName="tblPaymentTerms" ref="A3:F4" totalsRowShown="0">
  <autoFilter ref="A3:F4"/>
  <tableColumns count="6">
    <tableColumn id="1" name="循环开始"/>
    <tableColumn id="2" name="付款节点"/>
    <tableColumn id="3" name="付款条件"/>
    <tableColumn id="4" name="付款比例"/>
    <tableColumn id="5" name="应付金额"/>
    <tableColumn id="6" name="循环结束"/>
  </tableColumns>
  <tableStyleInfo name="TableStyleMedium2" showFirstColumn="0" showLastColumn="0" showRowStripes="1" showColumnStripes="0"/>
</table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2.xml"/>
</Relationships>
</file>

<file path=xl/worksheets/_rels/sheet4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>
      <c r="A1" t="s" s="1">
        <v>0</v>
      </c>
    </row>
    <row r="3">
      <c r="A3" t="s" s="2">
        <v>1</v>
      </c>
      <c r="B3" t="s" s="4">
        <v>2</v>
      </c>
      <c r="D3" t="s" s="2">
        <v>7</v>
      </c>
      <c r="E3" t="s" s="4">
        <v>8</v>
      </c>
    </row>
    <row r="4">
      <c r="A4" t="s" s="2">
        <v>3</v>
      </c>
      <c r="B4" t="s" s="4">
        <v>4</v>
      </c>
      <c r="D4" t="s" s="2">
        <v>9</v>
      </c>
      <c r="E4" t="s" s="4">
        <v>10</v>
      </c>
    </row>
    <row r="5">
      <c r="A5" t="s" s="2">
        <v>5</v>
      </c>
      <c r="B5" t="s" s="4">
        <v>6</v>
      </c>
      <c r="D5" t="s" s="2">
        <v>11</v>
      </c>
      <c r="E5" t="s" s="4">
        <v>12</v>
      </c>
    </row>
    <row r="7">
      <c r="A7" t="s" s="2">
        <v>13</v>
      </c>
      <c r="B7" t="s" s="4">
        <v>14</v>
      </c>
      <c r="D7" t="s" s="2">
        <v>15</v>
      </c>
      <c r="E7" t="s" s="4">
        <v>16</v>
      </c>
    </row>
    <row r="9">
      <c r="A9" t="s" s="2">
        <v>17</v>
      </c>
      <c r="B9" t="s" s="4">
        <v>18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>
      <c r="A1" t="s" s="1">
        <v>19</v>
      </c>
    </row>
    <row r="2">
      <c r="A2" t="s" s="4">
        <v>20</v>
      </c>
    </row>
    <row r="3">
      <c r="A3" t="s" s="2">
        <v>21</v>
      </c>
      <c r="B3" t="s" s="2">
        <v>22</v>
      </c>
      <c r="C3" t="s" s="2">
        <v>23</v>
      </c>
      <c r="D3" t="s" s="2">
        <v>24</v>
      </c>
      <c r="E3" t="s" s="2">
        <v>25</v>
      </c>
      <c r="F3" t="s" s="2">
        <v>26</v>
      </c>
      <c r="G3" t="s" s="2">
        <v>27</v>
      </c>
      <c r="H3" t="s" s="2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s="3">
        <f>E4*F4</f>
        <v>0</v>
      </c>
      <c r="H4" t="s">
        <v>35</v>
      </c>
    </row>
  </sheetData>
  <mergeCells count="1">
    <mergeCell ref="A1:H1"/>
  </mergeCells>
  <tableParts count="1">
    <tablePart xmlns:r="http://schemas.openxmlformats.org/officeDocument/2006/relationships" r:id="rId1"/>
  </tablePart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>
      <c r="A1" t="s" s="1">
        <v>36</v>
      </c>
    </row>
    <row r="2">
      <c r="A2" t="s" s="4">
        <v>37</v>
      </c>
    </row>
    <row r="3">
      <c r="A3" t="s" s="2">
        <v>21</v>
      </c>
      <c r="B3" t="s" s="2">
        <v>38</v>
      </c>
      <c r="C3" t="s" s="2">
        <v>39</v>
      </c>
      <c r="D3" t="s" s="2">
        <v>40</v>
      </c>
      <c r="E3" t="s" s="2">
        <v>41</v>
      </c>
      <c r="F3" t="s" s="2">
        <v>42</v>
      </c>
      <c r="G3" t="s" s="2">
        <v>28</v>
      </c>
    </row>
    <row r="4">
      <c r="A4" t="s">
        <v>43</v>
      </c>
      <c r="B4" t="s">
        <v>44</v>
      </c>
      <c r="C4" t="s">
        <v>45</v>
      </c>
      <c r="D4" t="s">
        <v>46</v>
      </c>
      <c r="E4" t="s">
        <v>47</v>
      </c>
      <c r="F4">
        <f>IF(E4&lt;&gt;"","含安装","仅到货")</f>
        <v>0</v>
      </c>
      <c r="G4" t="s">
        <v>48</v>
      </c>
    </row>
  </sheetData>
  <mergeCells count="1">
    <mergeCell ref="A1:G1"/>
  </mergeCells>
  <tableParts count="1">
    <tablePart xmlns:r="http://schemas.openxmlformats.org/officeDocument/2006/relationships" r:id="rId1"/>
  </tablePart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>
      <c r="A1" t="s" s="1">
        <v>49</v>
      </c>
    </row>
    <row r="2">
      <c r="A2" t="s" s="4">
        <v>50</v>
      </c>
    </row>
    <row r="3">
      <c r="A3" t="s" s="2">
        <v>21</v>
      </c>
      <c r="B3" t="s" s="2">
        <v>51</v>
      </c>
      <c r="C3" t="s" s="2">
        <v>52</v>
      </c>
      <c r="D3" t="s" s="2">
        <v>53</v>
      </c>
      <c r="E3" t="s" s="2">
        <v>54</v>
      </c>
      <c r="F3" t="s" s="2">
        <v>28</v>
      </c>
    </row>
    <row r="4">
      <c r="A4" t="s">
        <v>55</v>
      </c>
      <c r="B4" t="s">
        <v>56</v>
      </c>
      <c r="C4" t="s">
        <v>57</v>
      </c>
      <c r="D4" t="s">
        <v>58</v>
      </c>
      <c r="E4" s="3">
        <f>D4*$B$8</f>
        <v>0</v>
      </c>
      <c r="F4" t="s">
        <v>59</v>
      </c>
    </row>
    <row r="8">
      <c r="A8" t="s" s="2">
        <v>60</v>
      </c>
      <c r="B8" s="3">
        <f>SUM('采购清单'!G4:G30)</f>
        <v>0</v>
      </c>
      <c r="D8" t="s" s="2">
        <v>61</v>
      </c>
      <c r="E8">
        <f>IF(B8&gt;500000,"需要预付款保函","常规付款")</f>
        <v>0</v>
      </c>
    </row>
  </sheetData>
  <mergeCells count="1">
    <mergeCell ref="A1:F1"/>
  </mergeCells>
  <tableParts count="1">
    <tablePart xmlns:r="http://schemas.openxmlformats.org/officeDocument/2006/relationships" r:id="rId1"/>
  </tablePart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>
      <c r="A1" t="s" s="1">
        <v>62</v>
      </c>
    </row>
    <row r="3">
      <c r="A3" t="s" s="2">
        <v>63</v>
      </c>
      <c r="B3" t="s" s="4">
        <v>64</v>
      </c>
    </row>
    <row r="4">
      <c r="A4" t="s" s="2">
        <v>65</v>
      </c>
      <c r="B4">
        <f>IF('合同首页'!E7="true","{d.acceptance.installationStandard}","不适用")</f>
        <v>0</v>
      </c>
    </row>
    <row r="5">
      <c r="A5" t="s" s="2">
        <v>66</v>
      </c>
      <c r="B5" t="s" s="4">
        <v>67</v>
      </c>
    </row>
    <row r="6">
      <c r="A6" t="s" s="2">
        <v>68</v>
      </c>
      <c r="B6" t="s" s="4">
        <v>69</v>
      </c>
    </row>
    <row r="7">
      <c r="A7" t="s" s="2">
        <v>70</v>
      </c>
      <c r="B7" t="s" s="4">
        <v>71</v>
      </c>
    </row>
    <row r="9">
      <c r="A9" t="s" s="2">
        <v>72</v>
      </c>
      <c r="B9">
        <f>IF('付款条款'!B8&gt;1000000,"高金额合同，需增加履约保障条款","标准合同条款")</f>
        <v>0</v>
      </c>
    </row>
  </sheetData>
  <mergeCells count="1">
    <mergeCell ref="A1:F1"/>
  </mergeCells>
  <pageMargins left="0.7" right="0.7" top="0.75" bottom="0.75" header="0.3" footer="0.3"/>
</worksheet>
</file>